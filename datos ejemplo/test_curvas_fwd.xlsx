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orward\"/>
    </mc:Choice>
  </mc:AlternateContent>
  <xr:revisionPtr revIDLastSave="0" documentId="8_{748C8B61-9C27-4008-97B4-05DD4ED5A849}" xr6:coauthVersionLast="47" xr6:coauthVersionMax="47" xr10:uidLastSave="{00000000-0000-0000-0000-000000000000}"/>
  <bookViews>
    <workbookView xWindow="-98" yWindow="-98" windowWidth="25996" windowHeight="10276" xr2:uid="{00C21926-A83B-4268-9BF3-944D66E5783B}"/>
  </bookViews>
  <sheets>
    <sheet name="Hoja1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9" i="1" l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haredStrings.xml><?xml version="1.0" encoding="utf-8"?>
<sst xmlns="http://schemas.openxmlformats.org/spreadsheetml/2006/main" count="2" uniqueCount="2">
  <si>
    <t>dia_FWDUSDCLP</t>
  </si>
  <si>
    <t>c_FWDUSDCLP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</si>
</sst>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1" xfId="1" applyBorder="1"/>
    <xf numFmtId="164" fontId="0" fillId="0" borderId="0" xfId="0" applyNumberFormat="1"/>
  </cellXfs>
  <cellStyles count="2">
    <cellStyle name="Normal" xfId="0" builtinId="0"/>
    <cellStyle name="Normal_SHEET" xfId="1" xr:uid="{C22FC757-FE11-4A8F-A450-AB10D2B793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forward\06052026%20CalculadoraForward%20Cordada_v2.xlsm" TargetMode="External"/><Relationship Id="rId1" Type="http://schemas.openxmlformats.org/officeDocument/2006/relationships/externalLinkPath" Target="06052026%20CalculadoraForward%20Cordada_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-05-2026&gt;&gt;"/>
      <sheetName val="Forwards Cordada 31-05"/>
      <sheetName val="CURVE MASTER"/>
      <sheetName val="CLP 31-05"/>
      <sheetName val="FRD 31-05 tabla"/>
      <sheetName val="FWD Vigentes al 2026-05-31"/>
      <sheetName val="Dolar 2026"/>
      <sheetName val="tabla bloomberg"/>
      <sheetName val="Datos"/>
      <sheetName val="Hoja1"/>
      <sheetName val="Sheet1"/>
      <sheetName val="OLD&gt;&gt;"/>
      <sheetName val="FRD Dic"/>
      <sheetName val="FRD DIC tabla"/>
      <sheetName val="Forwards Cordada"/>
      <sheetName val="FRD sept"/>
      <sheetName val="FRD sept tabla (2)"/>
      <sheetName val="Ejemplo anterior"/>
    </sheetNames>
    <sheetDataSet>
      <sheetData sheetId="0"/>
      <sheetData sheetId="1"/>
      <sheetData sheetId="2"/>
      <sheetData sheetId="3"/>
      <sheetData sheetId="4">
        <row r="12">
          <cell r="D12">
            <v>1</v>
          </cell>
          <cell r="G12">
            <v>892.21</v>
          </cell>
        </row>
        <row r="13">
          <cell r="D13">
            <v>2</v>
          </cell>
          <cell r="G13">
            <v>892.20500000000004</v>
          </cell>
        </row>
        <row r="14">
          <cell r="D14">
            <v>8</v>
          </cell>
          <cell r="G14">
            <v>892.19</v>
          </cell>
        </row>
        <row r="15">
          <cell r="D15">
            <v>15</v>
          </cell>
          <cell r="G15">
            <v>892.13</v>
          </cell>
        </row>
        <row r="16">
          <cell r="D16">
            <v>22</v>
          </cell>
          <cell r="G16">
            <v>892.10500000000002</v>
          </cell>
        </row>
        <row r="17">
          <cell r="D17">
            <v>31</v>
          </cell>
          <cell r="G17">
            <v>892.06</v>
          </cell>
        </row>
        <row r="18">
          <cell r="D18">
            <v>62</v>
          </cell>
          <cell r="G18">
            <v>892.03</v>
          </cell>
        </row>
        <row r="19">
          <cell r="D19">
            <v>93</v>
          </cell>
          <cell r="G19">
            <v>891.98</v>
          </cell>
        </row>
        <row r="20">
          <cell r="D20">
            <v>125</v>
          </cell>
          <cell r="G20">
            <v>892.01</v>
          </cell>
        </row>
        <row r="21">
          <cell r="D21">
            <v>154</v>
          </cell>
          <cell r="G21">
            <v>892.03</v>
          </cell>
        </row>
        <row r="22">
          <cell r="D22">
            <v>184</v>
          </cell>
          <cell r="G22">
            <v>892.04</v>
          </cell>
        </row>
        <row r="23">
          <cell r="D23">
            <v>274</v>
          </cell>
          <cell r="G23">
            <v>892.16</v>
          </cell>
        </row>
        <row r="24">
          <cell r="D24">
            <v>366</v>
          </cell>
          <cell r="G24">
            <v>892.33500000000004</v>
          </cell>
        </row>
        <row r="25">
          <cell r="D25">
            <v>458</v>
          </cell>
          <cell r="G25">
            <v>893.08500000000004</v>
          </cell>
        </row>
        <row r="26">
          <cell r="D26">
            <v>549</v>
          </cell>
          <cell r="G26">
            <v>893.83500000000004</v>
          </cell>
        </row>
        <row r="27">
          <cell r="D27">
            <v>734</v>
          </cell>
          <cell r="G27">
            <v>894.98</v>
          </cell>
        </row>
        <row r="28">
          <cell r="D28">
            <v>1098</v>
          </cell>
          <cell r="G28">
            <v>902.39</v>
          </cell>
        </row>
        <row r="29">
          <cell r="D29">
            <v>1462</v>
          </cell>
          <cell r="G29">
            <v>912.86</v>
          </cell>
        </row>
        <row r="30">
          <cell r="D30">
            <v>1827</v>
          </cell>
          <cell r="G30">
            <v>923.06999999999994</v>
          </cell>
        </row>
        <row r="31">
          <cell r="D31">
            <v>2193</v>
          </cell>
          <cell r="G31">
            <v>936.31999999999994</v>
          </cell>
        </row>
        <row r="32">
          <cell r="D32">
            <v>2558</v>
          </cell>
          <cell r="G32">
            <v>948.48500000000001</v>
          </cell>
        </row>
        <row r="33">
          <cell r="D33">
            <v>2925</v>
          </cell>
          <cell r="G33">
            <v>959.01499999999999</v>
          </cell>
        </row>
        <row r="34">
          <cell r="D34">
            <v>3289</v>
          </cell>
          <cell r="G34">
            <v>970.20499999999993</v>
          </cell>
        </row>
        <row r="35">
          <cell r="D35">
            <v>3654</v>
          </cell>
          <cell r="G35">
            <v>981.53500000000008</v>
          </cell>
        </row>
        <row r="36">
          <cell r="D36">
            <v>5480</v>
          </cell>
          <cell r="G36">
            <v>1044.9673</v>
          </cell>
        </row>
        <row r="37">
          <cell r="D37">
            <v>7307</v>
          </cell>
          <cell r="G37">
            <v>1077.575</v>
          </cell>
        </row>
        <row r="38">
          <cell r="D38">
            <v>9134</v>
          </cell>
          <cell r="G38">
            <v>1131.51</v>
          </cell>
        </row>
        <row r="39">
          <cell r="D39">
            <v>10961</v>
          </cell>
          <cell r="G39">
            <v>1211.1100000000001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0B96E-7130-4478-AF2E-189D12055CC7}">
  <dimension ref="A1:B29"/>
  <sheetViews>
    <sheetView tabSelected="1" workbookViewId="0">
      <selection sqref="A1:B29"/>
    </sheetView>
  </sheetViews>
  <sheetFormatPr baseColWidth="10" defaultRowHeight="14.25" x14ac:dyDescent="0.45"/>
  <sheetData>
    <row r="1" spans="1:2" x14ac:dyDescent="0.45">
      <c r="A1" s="1" t="s">
        <v>0</v>
      </c>
      <c r="B1" s="2" t="s">
        <v>1</v>
      </c>
    </row>
    <row r="2" spans="1:2" x14ac:dyDescent="0.45">
      <c r="A2" s="3">
        <f>'[1]FRD 31-05 tabla'!D12</f>
        <v>1</v>
      </c>
      <c r="B2" s="3">
        <f>'[1]FRD 31-05 tabla'!G12</f>
        <v>892.21</v>
      </c>
    </row>
    <row r="3" spans="1:2" x14ac:dyDescent="0.45">
      <c r="A3" s="3">
        <f>'[1]FRD 31-05 tabla'!D13</f>
        <v>2</v>
      </c>
      <c r="B3" s="3">
        <f>'[1]FRD 31-05 tabla'!G13</f>
        <v>892.20500000000004</v>
      </c>
    </row>
    <row r="4" spans="1:2" x14ac:dyDescent="0.45">
      <c r="A4" s="3">
        <f>'[1]FRD 31-05 tabla'!D14</f>
        <v>8</v>
      </c>
      <c r="B4" s="3">
        <f>'[1]FRD 31-05 tabla'!G14</f>
        <v>892.19</v>
      </c>
    </row>
    <row r="5" spans="1:2" x14ac:dyDescent="0.45">
      <c r="A5" s="3">
        <f>'[1]FRD 31-05 tabla'!D15</f>
        <v>15</v>
      </c>
      <c r="B5" s="3">
        <f>'[1]FRD 31-05 tabla'!G15</f>
        <v>892.13</v>
      </c>
    </row>
    <row r="6" spans="1:2" x14ac:dyDescent="0.45">
      <c r="A6" s="3">
        <f>'[1]FRD 31-05 tabla'!D16</f>
        <v>22</v>
      </c>
      <c r="B6" s="3">
        <f>'[1]FRD 31-05 tabla'!G16</f>
        <v>892.10500000000002</v>
      </c>
    </row>
    <row r="7" spans="1:2" x14ac:dyDescent="0.45">
      <c r="A7" s="3">
        <f>'[1]FRD 31-05 tabla'!D17</f>
        <v>31</v>
      </c>
      <c r="B7" s="3">
        <f>'[1]FRD 31-05 tabla'!G17</f>
        <v>892.06</v>
      </c>
    </row>
    <row r="8" spans="1:2" x14ac:dyDescent="0.45">
      <c r="A8" s="3">
        <f>'[1]FRD 31-05 tabla'!D18</f>
        <v>62</v>
      </c>
      <c r="B8" s="3">
        <f>'[1]FRD 31-05 tabla'!G18</f>
        <v>892.03</v>
      </c>
    </row>
    <row r="9" spans="1:2" x14ac:dyDescent="0.45">
      <c r="A9" s="3">
        <f>'[1]FRD 31-05 tabla'!D19</f>
        <v>93</v>
      </c>
      <c r="B9" s="3">
        <f>'[1]FRD 31-05 tabla'!G19</f>
        <v>891.98</v>
      </c>
    </row>
    <row r="10" spans="1:2" x14ac:dyDescent="0.45">
      <c r="A10" s="3">
        <f>'[1]FRD 31-05 tabla'!D20</f>
        <v>125</v>
      </c>
      <c r="B10" s="3">
        <f>'[1]FRD 31-05 tabla'!G20</f>
        <v>892.01</v>
      </c>
    </row>
    <row r="11" spans="1:2" x14ac:dyDescent="0.45">
      <c r="A11" s="3">
        <f>'[1]FRD 31-05 tabla'!D21</f>
        <v>154</v>
      </c>
      <c r="B11" s="3">
        <f>'[1]FRD 31-05 tabla'!G21</f>
        <v>892.03</v>
      </c>
    </row>
    <row r="12" spans="1:2" x14ac:dyDescent="0.45">
      <c r="A12" s="3">
        <f>'[1]FRD 31-05 tabla'!D22</f>
        <v>184</v>
      </c>
      <c r="B12" s="3">
        <f>'[1]FRD 31-05 tabla'!G22</f>
        <v>892.04</v>
      </c>
    </row>
    <row r="13" spans="1:2" x14ac:dyDescent="0.45">
      <c r="A13" s="3">
        <f>'[1]FRD 31-05 tabla'!D23</f>
        <v>274</v>
      </c>
      <c r="B13" s="3">
        <f>'[1]FRD 31-05 tabla'!G23</f>
        <v>892.16</v>
      </c>
    </row>
    <row r="14" spans="1:2" x14ac:dyDescent="0.45">
      <c r="A14" s="3">
        <f>'[1]FRD 31-05 tabla'!D24</f>
        <v>366</v>
      </c>
      <c r="B14" s="3">
        <f>'[1]FRD 31-05 tabla'!G24</f>
        <v>892.33500000000004</v>
      </c>
    </row>
    <row r="15" spans="1:2" x14ac:dyDescent="0.45">
      <c r="A15" s="3">
        <f>'[1]FRD 31-05 tabla'!D25</f>
        <v>458</v>
      </c>
      <c r="B15" s="3">
        <f>'[1]FRD 31-05 tabla'!G25</f>
        <v>893.08500000000004</v>
      </c>
    </row>
    <row r="16" spans="1:2" x14ac:dyDescent="0.45">
      <c r="A16" s="3">
        <f>'[1]FRD 31-05 tabla'!D26</f>
        <v>549</v>
      </c>
      <c r="B16" s="3">
        <f>'[1]FRD 31-05 tabla'!G26</f>
        <v>893.83500000000004</v>
      </c>
    </row>
    <row r="17" spans="1:2" x14ac:dyDescent="0.45">
      <c r="A17" s="3">
        <f>'[1]FRD 31-05 tabla'!D27</f>
        <v>734</v>
      </c>
      <c r="B17" s="3">
        <f>'[1]FRD 31-05 tabla'!G27</f>
        <v>894.98</v>
      </c>
    </row>
    <row r="18" spans="1:2" x14ac:dyDescent="0.45">
      <c r="A18" s="3">
        <f>'[1]FRD 31-05 tabla'!D28</f>
        <v>1098</v>
      </c>
      <c r="B18" s="3">
        <f>'[1]FRD 31-05 tabla'!G28</f>
        <v>902.39</v>
      </c>
    </row>
    <row r="19" spans="1:2" x14ac:dyDescent="0.45">
      <c r="A19" s="3">
        <f>'[1]FRD 31-05 tabla'!D29</f>
        <v>1462</v>
      </c>
      <c r="B19" s="3">
        <f>'[1]FRD 31-05 tabla'!G29</f>
        <v>912.86</v>
      </c>
    </row>
    <row r="20" spans="1:2" x14ac:dyDescent="0.45">
      <c r="A20" s="3">
        <f>'[1]FRD 31-05 tabla'!D30</f>
        <v>1827</v>
      </c>
      <c r="B20" s="3">
        <f>'[1]FRD 31-05 tabla'!G30</f>
        <v>923.06999999999994</v>
      </c>
    </row>
    <row r="21" spans="1:2" x14ac:dyDescent="0.45">
      <c r="A21" s="3">
        <f>'[1]FRD 31-05 tabla'!D31</f>
        <v>2193</v>
      </c>
      <c r="B21" s="3">
        <f>'[1]FRD 31-05 tabla'!G31</f>
        <v>936.31999999999994</v>
      </c>
    </row>
    <row r="22" spans="1:2" x14ac:dyDescent="0.45">
      <c r="A22" s="3">
        <f>'[1]FRD 31-05 tabla'!D32</f>
        <v>2558</v>
      </c>
      <c r="B22" s="3">
        <f>'[1]FRD 31-05 tabla'!G32</f>
        <v>948.48500000000001</v>
      </c>
    </row>
    <row r="23" spans="1:2" x14ac:dyDescent="0.45">
      <c r="A23" s="3">
        <f>'[1]FRD 31-05 tabla'!D33</f>
        <v>2925</v>
      </c>
      <c r="B23" s="3">
        <f>'[1]FRD 31-05 tabla'!G33</f>
        <v>959.01499999999999</v>
      </c>
    </row>
    <row r="24" spans="1:2" x14ac:dyDescent="0.45">
      <c r="A24" s="3">
        <f>'[1]FRD 31-05 tabla'!D34</f>
        <v>3289</v>
      </c>
      <c r="B24" s="3">
        <f>'[1]FRD 31-05 tabla'!G34</f>
        <v>970.20499999999993</v>
      </c>
    </row>
    <row r="25" spans="1:2" x14ac:dyDescent="0.45">
      <c r="A25" s="3">
        <f>'[1]FRD 31-05 tabla'!D35</f>
        <v>3654</v>
      </c>
      <c r="B25" s="3">
        <f>'[1]FRD 31-05 tabla'!G35</f>
        <v>981.53500000000008</v>
      </c>
    </row>
    <row r="26" spans="1:2" x14ac:dyDescent="0.45">
      <c r="A26" s="3">
        <f>'[1]FRD 31-05 tabla'!D36</f>
        <v>5480</v>
      </c>
      <c r="B26" s="3">
        <f>'[1]FRD 31-05 tabla'!G36</f>
        <v>1044.9673</v>
      </c>
    </row>
    <row r="27" spans="1:2" x14ac:dyDescent="0.45">
      <c r="A27" s="3">
        <f>'[1]FRD 31-05 tabla'!D37</f>
        <v>7307</v>
      </c>
      <c r="B27" s="3">
        <f>'[1]FRD 31-05 tabla'!G37</f>
        <v>1077.575</v>
      </c>
    </row>
    <row r="28" spans="1:2" x14ac:dyDescent="0.45">
      <c r="A28" s="3">
        <f>'[1]FRD 31-05 tabla'!D38</f>
        <v>9134</v>
      </c>
      <c r="B28" s="3">
        <f>'[1]FRD 31-05 tabla'!G38</f>
        <v>1131.51</v>
      </c>
    </row>
    <row r="29" spans="1:2" x14ac:dyDescent="0.45">
      <c r="A29" s="3">
        <f>'[1]FRD 31-05 tabla'!D39</f>
        <v>10961</v>
      </c>
      <c r="B29" s="3">
        <f>'[1]FRD 31-05 tabla'!G39</f>
        <v>1211.1100000000001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Gaston Farina</dc:creator>
  <cp:lastModifiedBy>Gaston Farina</cp:lastModifiedBy>
  <dcterms:created xsi:type="dcterms:W3CDTF">2026-08-03T18:27:48Z</dcterms:created>
  <dcterms:modified xsi:type="dcterms:W3CDTF">2026-08-03T18:28:12Z</dcterms:modified>
</cp:coreProperties>
</file>